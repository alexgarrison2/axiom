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garrison/Downloads/HockeyData/nhl-predictions-app/"/>
    </mc:Choice>
  </mc:AlternateContent>
  <xr:revisionPtr revIDLastSave="0" documentId="13_ncr:1_{DB82D46B-087C-5C4F-B0D5-5DD682BE02B3}" xr6:coauthVersionLast="47" xr6:coauthVersionMax="47" xr10:uidLastSave="{00000000-0000-0000-0000-000000000000}"/>
  <bookViews>
    <workbookView xWindow="2740" yWindow="780" windowWidth="31460" windowHeight="20180" xr2:uid="{D7ADC74C-0B27-2149-8079-6A3524B4FE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3" i="1"/>
  <c r="G42" i="1"/>
  <c r="G41" i="1"/>
  <c r="G40" i="1"/>
  <c r="D40" i="1"/>
  <c r="G39" i="1"/>
  <c r="G38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37" i="1"/>
  <c r="G37" i="1"/>
  <c r="D36" i="1"/>
  <c r="G36" i="1"/>
  <c r="G35" i="1"/>
  <c r="G3" i="1"/>
  <c r="G6" i="1"/>
  <c r="G5" i="1"/>
  <c r="G4" i="1"/>
  <c r="G11" i="1"/>
  <c r="G10" i="1"/>
  <c r="G9" i="1"/>
  <c r="G8" i="1"/>
  <c r="G7" i="1"/>
  <c r="G15" i="1"/>
  <c r="G14" i="1"/>
  <c r="G13" i="1"/>
  <c r="G12" i="1"/>
  <c r="G16" i="1"/>
  <c r="G24" i="1"/>
  <c r="G23" i="1"/>
  <c r="G22" i="1"/>
  <c r="G21" i="1"/>
  <c r="G20" i="1"/>
  <c r="G19" i="1"/>
  <c r="G18" i="1"/>
  <c r="G17" i="1"/>
  <c r="G26" i="1"/>
  <c r="G25" i="1"/>
  <c r="G30" i="1"/>
  <c r="G29" i="1"/>
  <c r="G28" i="1"/>
  <c r="G27" i="1"/>
  <c r="G34" i="1"/>
  <c r="G33" i="1"/>
  <c r="G32" i="1"/>
  <c r="G31" i="1"/>
  <c r="F1" i="1" l="1"/>
</calcChain>
</file>

<file path=xl/sharedStrings.xml><?xml version="1.0" encoding="utf-8"?>
<sst xmlns="http://schemas.openxmlformats.org/spreadsheetml/2006/main" count="82" uniqueCount="34">
  <si>
    <t>Date</t>
  </si>
  <si>
    <t>Team</t>
  </si>
  <si>
    <t>Odds</t>
  </si>
  <si>
    <t>Units</t>
  </si>
  <si>
    <t>W/L</t>
  </si>
  <si>
    <t>Net</t>
  </si>
  <si>
    <t>BOS</t>
  </si>
  <si>
    <t>W</t>
  </si>
  <si>
    <t>FLA</t>
  </si>
  <si>
    <t>NYR</t>
  </si>
  <si>
    <t>PIT</t>
  </si>
  <si>
    <t>CBJ</t>
  </si>
  <si>
    <t>CAR</t>
  </si>
  <si>
    <t>NJD</t>
  </si>
  <si>
    <t>PHI</t>
  </si>
  <si>
    <t>L</t>
  </si>
  <si>
    <t>STL</t>
  </si>
  <si>
    <t>OTT</t>
  </si>
  <si>
    <t>SEA</t>
  </si>
  <si>
    <t>NYI</t>
  </si>
  <si>
    <t>WPG</t>
  </si>
  <si>
    <t>CGY</t>
  </si>
  <si>
    <t>VAN</t>
  </si>
  <si>
    <t>NSH</t>
  </si>
  <si>
    <t>TOR</t>
  </si>
  <si>
    <t>MTL</t>
  </si>
  <si>
    <t>VGK</t>
  </si>
  <si>
    <t>DAL</t>
  </si>
  <si>
    <t>BUF</t>
  </si>
  <si>
    <t>WSH</t>
  </si>
  <si>
    <t>COL -1.5</t>
  </si>
  <si>
    <t>COL +2.5 (Live)</t>
  </si>
  <si>
    <t>SJS</t>
  </si>
  <si>
    <t>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</si>
</sst>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\+#.00\u;\(#.00\u\);&quot;-&quot;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" fontId="0" fillId="0" borderId="0" xfId="0" applyNumberFormat="1"/>
    <xf numFmtId="2" fontId="0" fillId="0" borderId="0" xfId="0" applyNumberFormat="1"/>
    <xf numFmtId="170" fontId="2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AFCB-A0D1-CE45-ABEA-40D46BA74F7D}">
  <dimension ref="A1:G59"/>
  <sheetViews>
    <sheetView tabSelected="1" topLeftCell="A35" workbookViewId="0">
      <selection activeCell="L57" sqref="L57"/>
    </sheetView>
  </sheetViews>
  <sheetFormatPr baseColWidth="10" defaultRowHeight="16" x14ac:dyDescent="0.2"/>
  <cols>
    <col min="7" max="7" width="2.1640625" customWidth="1"/>
  </cols>
  <sheetData>
    <row r="1" spans="1:7" x14ac:dyDescent="0.2">
      <c r="F1" s="3">
        <f>SUM(F3:F75)</f>
        <v>16.719191961939529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7" x14ac:dyDescent="0.2">
      <c r="A3" s="1">
        <v>46099</v>
      </c>
      <c r="B3" t="s">
        <v>17</v>
      </c>
      <c r="C3">
        <v>-118</v>
      </c>
      <c r="D3">
        <v>1.18</v>
      </c>
      <c r="E3" t="s">
        <v>7</v>
      </c>
      <c r="F3" s="2">
        <f t="shared" ref="F3:F36" si="0">IF(E3="","",IF(E3="W",D3*G3-D3,-D3))</f>
        <v>0.99999999999999978</v>
      </c>
      <c r="G3">
        <f>IF(C3&gt;0,(C3/100)+1,(100/ABS(C3))+1)</f>
        <v>1.847457627118644</v>
      </c>
    </row>
    <row r="4" spans="1:7" x14ac:dyDescent="0.2">
      <c r="A4" s="1">
        <v>46101</v>
      </c>
      <c r="B4" t="s">
        <v>29</v>
      </c>
      <c r="C4">
        <v>-130</v>
      </c>
      <c r="D4">
        <v>1.3</v>
      </c>
      <c r="E4" t="s">
        <v>7</v>
      </c>
      <c r="F4" s="2">
        <f t="shared" si="0"/>
        <v>0.99999999999999978</v>
      </c>
      <c r="G4">
        <f>IF(C4&gt;0,(C4/100)+1,(100/ABS(C4))+1)</f>
        <v>1.7692307692307692</v>
      </c>
    </row>
    <row r="5" spans="1:7" x14ac:dyDescent="0.2">
      <c r="A5" s="1">
        <v>46101</v>
      </c>
      <c r="B5" t="s">
        <v>12</v>
      </c>
      <c r="C5">
        <v>-200</v>
      </c>
      <c r="D5">
        <v>2</v>
      </c>
      <c r="E5" t="s">
        <v>7</v>
      </c>
      <c r="F5" s="2">
        <f t="shared" si="0"/>
        <v>1</v>
      </c>
      <c r="G5">
        <f>IF(C5&gt;0,(C5/100)+1,(100/ABS(C5))+1)</f>
        <v>1.5</v>
      </c>
    </row>
    <row r="6" spans="1:7" x14ac:dyDescent="0.2">
      <c r="A6" s="1">
        <v>46101</v>
      </c>
      <c r="B6" t="s">
        <v>30</v>
      </c>
      <c r="C6">
        <v>-115</v>
      </c>
      <c r="D6">
        <v>1.1499999999999999</v>
      </c>
      <c r="E6" t="s">
        <v>7</v>
      </c>
      <c r="F6" s="2">
        <f t="shared" si="0"/>
        <v>0.99999999999999956</v>
      </c>
      <c r="G6">
        <f>IF(C6&gt;0,(C6/100)+1,(100/ABS(C6))+1)</f>
        <v>1.8695652173913042</v>
      </c>
    </row>
    <row r="7" spans="1:7" x14ac:dyDescent="0.2">
      <c r="A7" s="1">
        <v>46102</v>
      </c>
      <c r="B7" t="s">
        <v>10</v>
      </c>
      <c r="C7">
        <v>-162</v>
      </c>
      <c r="D7">
        <v>1.62</v>
      </c>
      <c r="E7" t="s">
        <v>7</v>
      </c>
      <c r="F7" s="2">
        <f t="shared" si="0"/>
        <v>1</v>
      </c>
      <c r="G7">
        <f>IF(C7&gt;0,(C7/100)+1,(100/ABS(C7))+1)</f>
        <v>1.617283950617284</v>
      </c>
    </row>
    <row r="8" spans="1:7" x14ac:dyDescent="0.2">
      <c r="A8" s="1">
        <v>46102</v>
      </c>
      <c r="B8" t="s">
        <v>26</v>
      </c>
      <c r="C8">
        <v>-130</v>
      </c>
      <c r="D8">
        <v>1.3</v>
      </c>
      <c r="E8" t="s">
        <v>15</v>
      </c>
      <c r="F8" s="2">
        <f t="shared" si="0"/>
        <v>-1.3</v>
      </c>
      <c r="G8">
        <f>IF(C8&gt;0,(C8/100)+1,(100/ABS(C8))+1)</f>
        <v>1.7692307692307692</v>
      </c>
    </row>
    <row r="9" spans="1:7" x14ac:dyDescent="0.2">
      <c r="A9" s="1">
        <v>46102</v>
      </c>
      <c r="B9" t="s">
        <v>27</v>
      </c>
      <c r="C9">
        <v>-130</v>
      </c>
      <c r="D9">
        <v>1.3</v>
      </c>
      <c r="E9" t="s">
        <v>15</v>
      </c>
      <c r="F9" s="2">
        <f t="shared" si="0"/>
        <v>-1.3</v>
      </c>
      <c r="G9">
        <f>IF(C9&gt;0,(C9/100)+1,(100/ABS(C9))+1)</f>
        <v>1.7692307692307692</v>
      </c>
    </row>
    <row r="10" spans="1:7" x14ac:dyDescent="0.2">
      <c r="A10" s="1">
        <v>46102</v>
      </c>
      <c r="B10" t="s">
        <v>28</v>
      </c>
      <c r="C10">
        <v>-130</v>
      </c>
      <c r="D10">
        <v>1.3</v>
      </c>
      <c r="E10" t="s">
        <v>7</v>
      </c>
      <c r="F10" s="2">
        <f t="shared" si="0"/>
        <v>0.99999999999999978</v>
      </c>
      <c r="G10">
        <f>IF(C10&gt;0,(C10/100)+1,(100/ABS(C10))+1)</f>
        <v>1.7692307692307692</v>
      </c>
    </row>
    <row r="11" spans="1:7" x14ac:dyDescent="0.2">
      <c r="A11" s="1">
        <v>46102</v>
      </c>
      <c r="B11" t="s">
        <v>11</v>
      </c>
      <c r="C11">
        <v>-170</v>
      </c>
      <c r="D11">
        <v>1.7</v>
      </c>
      <c r="E11" t="s">
        <v>7</v>
      </c>
      <c r="F11" s="2">
        <f t="shared" si="0"/>
        <v>1.0000000000000002</v>
      </c>
      <c r="G11">
        <f>IF(C11&gt;0,(C11/100)+1,(100/ABS(C11))+1)</f>
        <v>1.5882352941176472</v>
      </c>
    </row>
    <row r="12" spans="1:7" x14ac:dyDescent="0.2">
      <c r="A12" s="1">
        <v>46105</v>
      </c>
      <c r="B12" t="s">
        <v>11</v>
      </c>
      <c r="C12">
        <v>-135</v>
      </c>
      <c r="D12">
        <v>1.1000000000000001</v>
      </c>
      <c r="E12" t="s">
        <v>7</v>
      </c>
      <c r="F12" s="2">
        <f t="shared" si="0"/>
        <v>0.81481481481481488</v>
      </c>
      <c r="G12">
        <f>IF(C12&gt;0,(C12/100)+1,(100/ABS(C12))+1)</f>
        <v>1.7407407407407407</v>
      </c>
    </row>
    <row r="13" spans="1:7" x14ac:dyDescent="0.2">
      <c r="A13" s="1">
        <v>46105</v>
      </c>
      <c r="B13" t="s">
        <v>21</v>
      </c>
      <c r="C13">
        <v>122</v>
      </c>
      <c r="D13">
        <v>1</v>
      </c>
      <c r="E13" t="s">
        <v>7</v>
      </c>
      <c r="F13" s="2">
        <f t="shared" si="0"/>
        <v>1.2199999999999998</v>
      </c>
      <c r="G13">
        <f>IF(C13&gt;0,(C13/100)+1,(100/ABS(C13))+1)</f>
        <v>2.2199999999999998</v>
      </c>
    </row>
    <row r="14" spans="1:7" x14ac:dyDescent="0.2">
      <c r="A14" s="1">
        <v>46105</v>
      </c>
      <c r="B14" t="s">
        <v>8</v>
      </c>
      <c r="C14">
        <v>-130</v>
      </c>
      <c r="D14">
        <v>1.1000000000000001</v>
      </c>
      <c r="E14" t="s">
        <v>7</v>
      </c>
      <c r="F14" s="2">
        <f t="shared" si="0"/>
        <v>0.84615384615384626</v>
      </c>
      <c r="G14">
        <f>IF(C14&gt;0,(C14/100)+1,(100/ABS(C14))+1)</f>
        <v>1.7692307692307692</v>
      </c>
    </row>
    <row r="15" spans="1:7" x14ac:dyDescent="0.2">
      <c r="A15" s="1">
        <v>46105</v>
      </c>
      <c r="B15" t="s">
        <v>25</v>
      </c>
      <c r="C15">
        <v>115</v>
      </c>
      <c r="D15">
        <v>1.4</v>
      </c>
      <c r="E15" t="s">
        <v>7</v>
      </c>
      <c r="F15" s="2">
        <f t="shared" si="0"/>
        <v>1.6099999999999999</v>
      </c>
      <c r="G15">
        <f>IF(C15&gt;0,(C15/100)+1,(100/ABS(C15))+1)</f>
        <v>2.15</v>
      </c>
    </row>
    <row r="16" spans="1:7" x14ac:dyDescent="0.2">
      <c r="A16" s="1">
        <v>46106</v>
      </c>
      <c r="B16" t="s">
        <v>24</v>
      </c>
      <c r="C16">
        <v>110</v>
      </c>
      <c r="D16">
        <v>0.7</v>
      </c>
      <c r="E16" t="s">
        <v>7</v>
      </c>
      <c r="F16" s="2">
        <f t="shared" si="0"/>
        <v>0.77</v>
      </c>
      <c r="G16">
        <f>IF(C16&gt;0,(C16/100)+1,(100/ABS(C16))+1)</f>
        <v>2.1</v>
      </c>
    </row>
    <row r="17" spans="1:7" x14ac:dyDescent="0.2">
      <c r="A17" s="1">
        <v>46107</v>
      </c>
      <c r="B17" t="s">
        <v>17</v>
      </c>
      <c r="C17">
        <v>-147</v>
      </c>
      <c r="D17">
        <v>0.8</v>
      </c>
      <c r="E17" t="s">
        <v>15</v>
      </c>
      <c r="F17" s="2">
        <f t="shared" si="0"/>
        <v>-0.8</v>
      </c>
      <c r="G17">
        <f>IF(C17&gt;0,(C17/100)+1,(100/ABS(C17))+1)</f>
        <v>1.6802721088435373</v>
      </c>
    </row>
    <row r="18" spans="1:7" x14ac:dyDescent="0.2">
      <c r="A18" s="1">
        <v>46107</v>
      </c>
      <c r="B18" t="s">
        <v>18</v>
      </c>
      <c r="C18">
        <v>250</v>
      </c>
      <c r="D18">
        <v>0.5</v>
      </c>
      <c r="E18" t="s">
        <v>7</v>
      </c>
      <c r="F18" s="2">
        <f t="shared" si="0"/>
        <v>1.25</v>
      </c>
      <c r="G18">
        <f>IF(C18&gt;0,(C18/100)+1,(100/ABS(C18))+1)</f>
        <v>3.5</v>
      </c>
    </row>
    <row r="19" spans="1:7" x14ac:dyDescent="0.2">
      <c r="A19" s="1">
        <v>46107</v>
      </c>
      <c r="B19" t="s">
        <v>8</v>
      </c>
      <c r="C19">
        <v>133</v>
      </c>
      <c r="D19">
        <v>1.3</v>
      </c>
      <c r="E19" t="s">
        <v>15</v>
      </c>
      <c r="F19" s="2">
        <f t="shared" si="0"/>
        <v>-1.3</v>
      </c>
      <c r="G19">
        <f>IF(C19&gt;0,(C19/100)+1,(100/ABS(C19))+1)</f>
        <v>2.33</v>
      </c>
    </row>
    <row r="20" spans="1:7" x14ac:dyDescent="0.2">
      <c r="A20" s="1">
        <v>46107</v>
      </c>
      <c r="B20" t="s">
        <v>19</v>
      </c>
      <c r="C20">
        <v>105</v>
      </c>
      <c r="D20">
        <v>0.7</v>
      </c>
      <c r="E20" t="s">
        <v>7</v>
      </c>
      <c r="F20" s="2">
        <f t="shared" si="0"/>
        <v>0.73499999999999988</v>
      </c>
      <c r="G20">
        <f>IF(C20&gt;0,(C20/100)+1,(100/ABS(C20))+1)</f>
        <v>2.0499999999999998</v>
      </c>
    </row>
    <row r="21" spans="1:7" x14ac:dyDescent="0.2">
      <c r="A21" s="1">
        <v>46107</v>
      </c>
      <c r="B21" t="s">
        <v>20</v>
      </c>
      <c r="C21">
        <v>158</v>
      </c>
      <c r="D21">
        <v>1</v>
      </c>
      <c r="E21" t="s">
        <v>15</v>
      </c>
      <c r="F21" s="2">
        <f t="shared" si="0"/>
        <v>-1</v>
      </c>
      <c r="G21">
        <f>IF(C21&gt;0,(C21/100)+1,(100/ABS(C21))+1)</f>
        <v>2.58</v>
      </c>
    </row>
    <row r="22" spans="1:7" x14ac:dyDescent="0.2">
      <c r="A22" s="1">
        <v>46107</v>
      </c>
      <c r="B22" t="s">
        <v>21</v>
      </c>
      <c r="C22">
        <v>110</v>
      </c>
      <c r="D22">
        <v>1.1000000000000001</v>
      </c>
      <c r="E22" t="s">
        <v>15</v>
      </c>
      <c r="F22" s="2">
        <f t="shared" si="0"/>
        <v>-1.1000000000000001</v>
      </c>
      <c r="G22">
        <f>IF(C22&gt;0,(C22/100)+1,(100/ABS(C22))+1)</f>
        <v>2.1</v>
      </c>
    </row>
    <row r="23" spans="1:7" x14ac:dyDescent="0.2">
      <c r="A23" s="1">
        <v>46107</v>
      </c>
      <c r="B23" t="s">
        <v>22</v>
      </c>
      <c r="C23">
        <v>150</v>
      </c>
      <c r="D23">
        <v>0.4</v>
      </c>
      <c r="E23" t="s">
        <v>15</v>
      </c>
      <c r="F23" s="2">
        <f t="shared" si="0"/>
        <v>-0.4</v>
      </c>
      <c r="G23">
        <f>IF(C23&gt;0,(C23/100)+1,(100/ABS(C23))+1)</f>
        <v>2.5</v>
      </c>
    </row>
    <row r="24" spans="1:7" x14ac:dyDescent="0.2">
      <c r="A24" s="1">
        <v>46107</v>
      </c>
      <c r="B24" t="s">
        <v>23</v>
      </c>
      <c r="C24">
        <v>-112</v>
      </c>
      <c r="D24">
        <v>0.4</v>
      </c>
      <c r="E24" t="s">
        <v>15</v>
      </c>
      <c r="F24" s="2">
        <f t="shared" si="0"/>
        <v>-0.4</v>
      </c>
      <c r="G24">
        <f>IF(C24&gt;0,(C24/100)+1,(100/ABS(C24))+1)</f>
        <v>1.8928571428571428</v>
      </c>
    </row>
    <row r="25" spans="1:7" x14ac:dyDescent="0.2">
      <c r="A25" s="1">
        <v>46109</v>
      </c>
      <c r="B25" t="s">
        <v>6</v>
      </c>
      <c r="C25">
        <v>100</v>
      </c>
      <c r="D25">
        <v>0.5</v>
      </c>
      <c r="E25" t="s">
        <v>7</v>
      </c>
      <c r="F25" s="2">
        <f t="shared" si="0"/>
        <v>0.5</v>
      </c>
      <c r="G25">
        <f>IF(C25&gt;0,(C25/100)+1,(100/ABS(C25))+1)</f>
        <v>2</v>
      </c>
    </row>
    <row r="26" spans="1:7" x14ac:dyDescent="0.2">
      <c r="A26" s="1">
        <v>46109</v>
      </c>
      <c r="B26" t="s">
        <v>16</v>
      </c>
      <c r="C26">
        <v>-145</v>
      </c>
      <c r="D26">
        <v>1.45</v>
      </c>
      <c r="E26" t="s">
        <v>7</v>
      </c>
      <c r="F26" s="2">
        <f t="shared" si="0"/>
        <v>1.0000000000000002</v>
      </c>
      <c r="G26">
        <f>IF(C26&gt;0,(C26/100)+1,(100/ABS(C26))+1)</f>
        <v>1.6896551724137931</v>
      </c>
    </row>
    <row r="27" spans="1:7" x14ac:dyDescent="0.2">
      <c r="A27" s="1">
        <v>46110</v>
      </c>
      <c r="B27" t="s">
        <v>11</v>
      </c>
      <c r="C27">
        <v>-163</v>
      </c>
      <c r="D27">
        <v>0.97799999999999998</v>
      </c>
      <c r="E27" t="s">
        <v>15</v>
      </c>
      <c r="F27" s="2">
        <f t="shared" si="0"/>
        <v>-0.97799999999999998</v>
      </c>
      <c r="G27">
        <f>IF(C27&gt;0,(C27/100)+1,(100/ABS(C27))+1)</f>
        <v>1.6134969325153374</v>
      </c>
    </row>
    <row r="28" spans="1:7" x14ac:dyDescent="0.2">
      <c r="A28" s="1">
        <v>46110</v>
      </c>
      <c r="B28" t="s">
        <v>12</v>
      </c>
      <c r="C28">
        <v>-168</v>
      </c>
      <c r="D28">
        <v>1.26</v>
      </c>
      <c r="E28" t="s">
        <v>15</v>
      </c>
      <c r="F28" s="2">
        <f t="shared" si="0"/>
        <v>-1.26</v>
      </c>
      <c r="G28">
        <f>IF(C28&gt;0,(C28/100)+1,(100/ABS(C28))+1)</f>
        <v>1.5952380952380953</v>
      </c>
    </row>
    <row r="29" spans="1:7" x14ac:dyDescent="0.2">
      <c r="A29" s="1">
        <v>46110</v>
      </c>
      <c r="B29" t="s">
        <v>13</v>
      </c>
      <c r="C29">
        <v>-160</v>
      </c>
      <c r="D29">
        <v>1.1200000000000001</v>
      </c>
      <c r="E29" t="s">
        <v>7</v>
      </c>
      <c r="F29" s="2">
        <f t="shared" si="0"/>
        <v>0.70000000000000018</v>
      </c>
      <c r="G29">
        <f>IF(C29&gt;0,(C29/100)+1,(100/ABS(C29))+1)</f>
        <v>1.625</v>
      </c>
    </row>
    <row r="30" spans="1:7" x14ac:dyDescent="0.2">
      <c r="A30" s="1">
        <v>46110</v>
      </c>
      <c r="B30" t="s">
        <v>14</v>
      </c>
      <c r="C30">
        <v>145</v>
      </c>
      <c r="D30">
        <v>0.8</v>
      </c>
      <c r="E30" t="s">
        <v>7</v>
      </c>
      <c r="F30" s="2">
        <f t="shared" si="0"/>
        <v>1.1600000000000001</v>
      </c>
      <c r="G30">
        <f>IF(C30&gt;0,(C30/100)+1,(100/ABS(C30))+1)</f>
        <v>2.4500000000000002</v>
      </c>
    </row>
    <row r="31" spans="1:7" x14ac:dyDescent="0.2">
      <c r="A31" s="1">
        <v>46112</v>
      </c>
      <c r="B31" t="s">
        <v>6</v>
      </c>
      <c r="C31">
        <v>112</v>
      </c>
      <c r="D31">
        <v>0.6</v>
      </c>
      <c r="E31" t="s">
        <v>7</v>
      </c>
      <c r="F31" s="2">
        <f t="shared" si="0"/>
        <v>0.67200000000000004</v>
      </c>
      <c r="G31">
        <f>IF(C31&gt;0,(C31/100)+1,(100/ABS(C31))+1)</f>
        <v>2.12</v>
      </c>
    </row>
    <row r="32" spans="1:7" x14ac:dyDescent="0.2">
      <c r="A32" s="1">
        <v>46112</v>
      </c>
      <c r="B32" t="s">
        <v>8</v>
      </c>
      <c r="C32">
        <v>153</v>
      </c>
      <c r="D32">
        <v>0.5</v>
      </c>
      <c r="E32" t="s">
        <v>7</v>
      </c>
      <c r="F32" s="2">
        <f t="shared" si="0"/>
        <v>0.76500000000000012</v>
      </c>
      <c r="G32">
        <f>IF(C32&gt;0,(C32/100)+1,(100/ABS(C32))+1)</f>
        <v>2.5300000000000002</v>
      </c>
    </row>
    <row r="33" spans="1:7" x14ac:dyDescent="0.2">
      <c r="A33" s="1">
        <v>46112</v>
      </c>
      <c r="B33" t="s">
        <v>9</v>
      </c>
      <c r="C33">
        <v>100</v>
      </c>
      <c r="D33">
        <v>0.6</v>
      </c>
      <c r="E33" t="s">
        <v>7</v>
      </c>
      <c r="F33" s="2">
        <f t="shared" si="0"/>
        <v>0.6</v>
      </c>
      <c r="G33">
        <f>IF(C33&gt;0,(C33/100)+1,(100/ABS(C33))+1)</f>
        <v>2</v>
      </c>
    </row>
    <row r="34" spans="1:7" x14ac:dyDescent="0.2">
      <c r="A34" s="1">
        <v>46112</v>
      </c>
      <c r="B34" t="s">
        <v>10</v>
      </c>
      <c r="C34">
        <v>-103</v>
      </c>
      <c r="D34">
        <v>1.4</v>
      </c>
      <c r="E34" t="s">
        <v>7</v>
      </c>
      <c r="F34" s="2">
        <f t="shared" si="0"/>
        <v>1.3592233009708736</v>
      </c>
      <c r="G34">
        <f>IF(C34&gt;0,(C34/100)+1,(100/ABS(C34))+1)</f>
        <v>1.970873786407767</v>
      </c>
    </row>
    <row r="35" spans="1:7" x14ac:dyDescent="0.2">
      <c r="A35" s="1">
        <v>46113</v>
      </c>
      <c r="B35" t="s">
        <v>22</v>
      </c>
      <c r="C35">
        <v>345</v>
      </c>
      <c r="D35">
        <v>0.5</v>
      </c>
      <c r="E35" t="s">
        <v>7</v>
      </c>
      <c r="F35" s="2">
        <f t="shared" si="0"/>
        <v>1.7250000000000001</v>
      </c>
      <c r="G35">
        <f>IF(C35&gt;0,(C35/100)+1,(100/ABS(C35))+1)</f>
        <v>4.45</v>
      </c>
    </row>
    <row r="36" spans="1:7" x14ac:dyDescent="0.2">
      <c r="A36" s="1">
        <v>46113</v>
      </c>
      <c r="B36" t="s">
        <v>31</v>
      </c>
      <c r="C36">
        <v>100</v>
      </c>
      <c r="D36">
        <f>19.15/5</f>
        <v>3.8299999999999996</v>
      </c>
      <c r="E36" t="s">
        <v>7</v>
      </c>
      <c r="F36" s="2">
        <f t="shared" si="0"/>
        <v>3.8299999999999996</v>
      </c>
      <c r="G36">
        <f>IF(C36&gt;0,(C36/100)+1,(100/ABS(C36))+1)</f>
        <v>2</v>
      </c>
    </row>
    <row r="37" spans="1:7" x14ac:dyDescent="0.2">
      <c r="A37" s="1">
        <v>46114</v>
      </c>
      <c r="B37" t="s">
        <v>8</v>
      </c>
      <c r="C37">
        <v>142</v>
      </c>
      <c r="D37">
        <v>1.4</v>
      </c>
      <c r="F37" s="2" t="str">
        <f>IF(E37="","",IF(E37="W",D37*G37-D37,-D37))</f>
        <v/>
      </c>
      <c r="G37">
        <f>IF(C37&gt;0,(C37/100)+1,(100/ABS(C37))+1)</f>
        <v>2.42</v>
      </c>
    </row>
    <row r="38" spans="1:7" x14ac:dyDescent="0.2">
      <c r="A38" s="1">
        <v>46114</v>
      </c>
      <c r="B38" t="s">
        <v>9</v>
      </c>
      <c r="C38">
        <v>112</v>
      </c>
      <c r="D38">
        <v>0.6</v>
      </c>
      <c r="F38" s="2" t="str">
        <f t="shared" ref="F38:F59" si="1">IF(E38="","",IF(E38="W",D38*G38-D38,-D38))</f>
        <v/>
      </c>
      <c r="G38">
        <f>IF(C38&gt;0,(C38/100)+1,(100/ABS(C38))+1)</f>
        <v>2.12</v>
      </c>
    </row>
    <row r="39" spans="1:7" x14ac:dyDescent="0.2">
      <c r="A39" s="1">
        <v>46114</v>
      </c>
      <c r="B39" t="s">
        <v>10</v>
      </c>
      <c r="C39">
        <v>140</v>
      </c>
      <c r="D39">
        <v>0.4</v>
      </c>
      <c r="F39" s="2" t="str">
        <f t="shared" si="1"/>
        <v/>
      </c>
      <c r="G39">
        <f>IF(C39&gt;0,(C39/100)+1,(100/ABS(C39))+1)</f>
        <v>2.4</v>
      </c>
    </row>
    <row r="40" spans="1:7" x14ac:dyDescent="0.2">
      <c r="A40" s="1">
        <v>46114</v>
      </c>
      <c r="B40" t="s">
        <v>14</v>
      </c>
      <c r="C40">
        <v>-105</v>
      </c>
      <c r="D40">
        <f>6.5/5</f>
        <v>1.3</v>
      </c>
      <c r="F40" s="2" t="str">
        <f t="shared" si="1"/>
        <v/>
      </c>
      <c r="G40">
        <f>IF(C40&gt;0,(C40/100)+1,(100/ABS(C40))+1)</f>
        <v>1.9523809523809523</v>
      </c>
    </row>
    <row r="41" spans="1:7" x14ac:dyDescent="0.2">
      <c r="A41" s="1">
        <v>46114</v>
      </c>
      <c r="B41" t="s">
        <v>27</v>
      </c>
      <c r="C41">
        <v>-165</v>
      </c>
      <c r="D41">
        <v>1.65</v>
      </c>
      <c r="F41" s="2" t="str">
        <f t="shared" si="1"/>
        <v/>
      </c>
      <c r="G41">
        <f>IF(C41&gt;0,(C41/100)+1,(100/ABS(C41))+1)</f>
        <v>1.606060606060606</v>
      </c>
    </row>
    <row r="42" spans="1:7" x14ac:dyDescent="0.2">
      <c r="A42" s="1">
        <v>46114</v>
      </c>
      <c r="B42" t="s">
        <v>32</v>
      </c>
      <c r="C42">
        <v>-125</v>
      </c>
      <c r="D42">
        <v>1.5</v>
      </c>
      <c r="F42" s="2" t="str">
        <f t="shared" si="1"/>
        <v/>
      </c>
      <c r="G42">
        <f>IF(C42&gt;0,(C42/100)+1,(100/ABS(C42))+1)</f>
        <v>1.8</v>
      </c>
    </row>
    <row r="43" spans="1:7" x14ac:dyDescent="0.2">
      <c r="A43" s="1">
        <v>46114</v>
      </c>
      <c r="B43" t="s">
        <v>18</v>
      </c>
      <c r="C43">
        <v>117</v>
      </c>
      <c r="D43">
        <v>0.5</v>
      </c>
      <c r="F43" s="2" t="str">
        <f t="shared" si="1"/>
        <v/>
      </c>
      <c r="G43">
        <f>IF(C43&gt;0,(C43/100)+1,(100/ABS(C43))+1)</f>
        <v>2.17</v>
      </c>
    </row>
    <row r="44" spans="1:7" x14ac:dyDescent="0.2">
      <c r="A44" s="1">
        <v>46114</v>
      </c>
      <c r="B44" t="s">
        <v>33</v>
      </c>
      <c r="C44">
        <v>-122</v>
      </c>
      <c r="D44">
        <v>1.1000000000000001</v>
      </c>
      <c r="F44" s="2" t="str">
        <f t="shared" si="1"/>
        <v/>
      </c>
      <c r="G44">
        <f>IF(C44&gt;0,(C44/100)+1,(100/ABS(C44))+1)</f>
        <v>1.819672131147541</v>
      </c>
    </row>
    <row r="45" spans="1:7" x14ac:dyDescent="0.2">
      <c r="F45" s="2" t="str">
        <f t="shared" si="1"/>
        <v/>
      </c>
    </row>
    <row r="46" spans="1:7" x14ac:dyDescent="0.2">
      <c r="F46" s="2" t="str">
        <f t="shared" si="1"/>
        <v/>
      </c>
    </row>
    <row r="47" spans="1:7" x14ac:dyDescent="0.2">
      <c r="F47" s="2" t="str">
        <f t="shared" si="1"/>
        <v/>
      </c>
    </row>
    <row r="48" spans="1:7" x14ac:dyDescent="0.2">
      <c r="F48" s="2" t="str">
        <f t="shared" si="1"/>
        <v/>
      </c>
    </row>
    <row r="49" spans="6:6" x14ac:dyDescent="0.2">
      <c r="F49" s="2" t="str">
        <f t="shared" si="1"/>
        <v/>
      </c>
    </row>
    <row r="50" spans="6:6" x14ac:dyDescent="0.2">
      <c r="F50" s="2" t="str">
        <f t="shared" si="1"/>
        <v/>
      </c>
    </row>
    <row r="51" spans="6:6" x14ac:dyDescent="0.2">
      <c r="F51" s="2" t="str">
        <f t="shared" si="1"/>
        <v/>
      </c>
    </row>
    <row r="52" spans="6:6" x14ac:dyDescent="0.2">
      <c r="F52" s="2" t="str">
        <f t="shared" si="1"/>
        <v/>
      </c>
    </row>
    <row r="53" spans="6:6" x14ac:dyDescent="0.2">
      <c r="F53" s="2" t="str">
        <f t="shared" si="1"/>
        <v/>
      </c>
    </row>
    <row r="54" spans="6:6" x14ac:dyDescent="0.2">
      <c r="F54" s="2" t="str">
        <f t="shared" si="1"/>
        <v/>
      </c>
    </row>
    <row r="55" spans="6:6" x14ac:dyDescent="0.2">
      <c r="F55" s="2" t="str">
        <f t="shared" si="1"/>
        <v/>
      </c>
    </row>
    <row r="56" spans="6:6" x14ac:dyDescent="0.2">
      <c r="F56" s="2" t="str">
        <f t="shared" si="1"/>
        <v/>
      </c>
    </row>
    <row r="57" spans="6:6" x14ac:dyDescent="0.2">
      <c r="F57" s="2" t="str">
        <f t="shared" si="1"/>
        <v/>
      </c>
    </row>
    <row r="58" spans="6:6" x14ac:dyDescent="0.2">
      <c r="F58" s="2" t="str">
        <f t="shared" si="1"/>
        <v/>
      </c>
    </row>
    <row r="59" spans="6:6" x14ac:dyDescent="0.2">
      <c r="F59" s="2" t="str">
        <f t="shared" si="1"/>
        <v/>
      </c>
    </row>
  </sheetData>
  <sortState xmlns:xlrd2="http://schemas.microsoft.com/office/spreadsheetml/2017/richdata2" ref="A3:G34">
    <sortCondition ref="A3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Garrison</dc:creator>
  <cp:lastModifiedBy>Alex Garrison</cp:lastModifiedBy>
  <dcterms:created xsi:type="dcterms:W3CDTF">2026-04-01T14:10:42Z</dcterms:created>
  <dcterms:modified xsi:type="dcterms:W3CDTF">2026-04-06T19:21:20Z</dcterms:modified>
</cp:coreProperties>
</file>